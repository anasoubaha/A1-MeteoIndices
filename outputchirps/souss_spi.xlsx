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64542240-CF3A-476D-ADB7-6BFF62D2C024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1" l="1"/>
  <c r="E69" i="1"/>
  <c r="D69" i="1"/>
  <c r="A69" i="1"/>
</calcChain>
</file>

<file path=xl/sharedStrings.xml><?xml version="1.0" encoding="utf-8"?>
<sst xmlns="http://schemas.openxmlformats.org/spreadsheetml/2006/main" count="135" uniqueCount="103">
  <si>
    <t>Duration</t>
  </si>
  <si>
    <t>Severity</t>
  </si>
  <si>
    <t>Intensity</t>
  </si>
  <si>
    <t>Date_Ini_Ev</t>
  </si>
  <si>
    <t>Date_Fin_Ev</t>
  </si>
  <si>
    <t>1983-03-01</t>
  </si>
  <si>
    <t>1983-09-01</t>
  </si>
  <si>
    <t>1983-10-01</t>
  </si>
  <si>
    <t>1983-12-01</t>
  </si>
  <si>
    <t>1984-05-01</t>
  </si>
  <si>
    <t>1984-08-01</t>
  </si>
  <si>
    <t>1984-10-01</t>
  </si>
  <si>
    <t>1985-04-01</t>
  </si>
  <si>
    <t>1985-05-01</t>
  </si>
  <si>
    <t>1985-07-01</t>
  </si>
  <si>
    <t>1985-09-01</t>
  </si>
  <si>
    <t>1985-10-01</t>
  </si>
  <si>
    <t>1986-08-01</t>
  </si>
  <si>
    <t>1986-11-01</t>
  </si>
  <si>
    <t>1987-05-01</t>
  </si>
  <si>
    <t>1987-08-01</t>
  </si>
  <si>
    <t>1988-06-01</t>
  </si>
  <si>
    <t>1989-07-01</t>
  </si>
  <si>
    <t>1990-07-01</t>
  </si>
  <si>
    <t>1990-08-01</t>
  </si>
  <si>
    <t>1990-10-01</t>
  </si>
  <si>
    <t>1990-11-01</t>
  </si>
  <si>
    <t>1991-01-01</t>
  </si>
  <si>
    <t>1991-06-01</t>
  </si>
  <si>
    <t>1991-07-01</t>
  </si>
  <si>
    <t>1992-03-01</t>
  </si>
  <si>
    <t>1992-08-01</t>
  </si>
  <si>
    <t>1993-02-01</t>
  </si>
  <si>
    <t>1993-08-01</t>
  </si>
  <si>
    <t>1993-09-01</t>
  </si>
  <si>
    <t>1994-02-01</t>
  </si>
  <si>
    <t>1994-09-01</t>
  </si>
  <si>
    <t>1994-11-01</t>
  </si>
  <si>
    <t>1995-02-01</t>
  </si>
  <si>
    <t>1995-07-01</t>
  </si>
  <si>
    <t>1996-10-01</t>
  </si>
  <si>
    <t>1997-08-01</t>
  </si>
  <si>
    <t>1997-11-01</t>
  </si>
  <si>
    <t>1998-06-01</t>
  </si>
  <si>
    <t>1998-10-01</t>
  </si>
  <si>
    <t>1998-12-01</t>
  </si>
  <si>
    <t>1999-06-01</t>
  </si>
  <si>
    <t>2000-01-01</t>
  </si>
  <si>
    <t>2000-03-01</t>
  </si>
  <si>
    <t>2000-05-01</t>
  </si>
  <si>
    <t>2000-08-01</t>
  </si>
  <si>
    <t>2001-08-01</t>
  </si>
  <si>
    <t>2001-10-01</t>
  </si>
  <si>
    <t>2001-11-01</t>
  </si>
  <si>
    <t>2002-07-01</t>
  </si>
  <si>
    <t>2002-10-01</t>
  </si>
  <si>
    <t>2003-06-01</t>
  </si>
  <si>
    <t>2003-07-01</t>
  </si>
  <si>
    <t>2003-09-01</t>
  </si>
  <si>
    <t>2005-01-01</t>
  </si>
  <si>
    <t>2005-06-01</t>
  </si>
  <si>
    <t>2005-08-01</t>
  </si>
  <si>
    <t>2005-09-01</t>
  </si>
  <si>
    <t>2006-05-01</t>
  </si>
  <si>
    <t>2006-07-01</t>
  </si>
  <si>
    <t>2006-09-01</t>
  </si>
  <si>
    <t>2007-03-01</t>
  </si>
  <si>
    <t>2007-09-01</t>
  </si>
  <si>
    <t>2008-05-01</t>
  </si>
  <si>
    <t>2008-06-01</t>
  </si>
  <si>
    <t>2008-08-01</t>
  </si>
  <si>
    <t>2009-06-01</t>
  </si>
  <si>
    <t>2009-09-01</t>
  </si>
  <si>
    <t>2009-11-01</t>
  </si>
  <si>
    <t>2011-09-01</t>
  </si>
  <si>
    <t>2012-01-01</t>
  </si>
  <si>
    <t>2012-03-01</t>
  </si>
  <si>
    <t>2013-01-01</t>
  </si>
  <si>
    <t>2013-02-01</t>
  </si>
  <si>
    <t>2013-06-01</t>
  </si>
  <si>
    <t>2013-07-01</t>
  </si>
  <si>
    <t>2013-12-01</t>
  </si>
  <si>
    <t>2014-08-01</t>
  </si>
  <si>
    <t>2015-02-01</t>
  </si>
  <si>
    <t>2015-06-01</t>
  </si>
  <si>
    <t>2015-07-01</t>
  </si>
  <si>
    <t>2016-01-01</t>
  </si>
  <si>
    <t>2016-04-01</t>
  </si>
  <si>
    <t>2017-05-01</t>
  </si>
  <si>
    <t>2017-06-01</t>
  </si>
  <si>
    <t>2017-10-01</t>
  </si>
  <si>
    <t>2018-01-01</t>
  </si>
  <si>
    <t>2019-02-01</t>
  </si>
  <si>
    <t>2019-06-01</t>
  </si>
  <si>
    <t>2019-09-01</t>
  </si>
  <si>
    <t>2020-05-01</t>
  </si>
  <si>
    <t>2020-09-01</t>
  </si>
  <si>
    <t>2020-10-01</t>
  </si>
  <si>
    <t>2020-12-01</t>
  </si>
  <si>
    <t>2021-05-01</t>
  </si>
  <si>
    <t>2021-06-01</t>
  </si>
  <si>
    <t>2021-10-01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</si>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</sst>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topLeftCell="A29" workbookViewId="0">
      <selection activeCell="C70" sqref="C70"/>
    </sheetView>
  </sheetViews>
  <sheetFormatPr defaultRowHeight="14.4" x14ac:dyDescent="0.3"/>
  <cols>
    <col min="4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0.54032975450536458</v>
      </c>
      <c r="C2">
        <v>0.54032975450536458</v>
      </c>
      <c r="D2" t="s">
        <v>5</v>
      </c>
      <c r="E2" t="s">
        <v>5</v>
      </c>
    </row>
    <row r="3" spans="1:5" x14ac:dyDescent="0.3">
      <c r="A3">
        <v>2</v>
      </c>
      <c r="B3">
        <v>1.1994251367031401</v>
      </c>
      <c r="C3">
        <v>0.59971256835157005</v>
      </c>
      <c r="D3" t="s">
        <v>6</v>
      </c>
      <c r="E3" t="s">
        <v>7</v>
      </c>
    </row>
    <row r="4" spans="1:5" x14ac:dyDescent="0.3">
      <c r="A4">
        <v>6</v>
      </c>
      <c r="B4">
        <v>7.4788151459573013</v>
      </c>
      <c r="C4">
        <v>1.246469190992884</v>
      </c>
      <c r="D4" t="s">
        <v>8</v>
      </c>
      <c r="E4" t="s">
        <v>9</v>
      </c>
    </row>
    <row r="5" spans="1:5" x14ac:dyDescent="0.3">
      <c r="A5">
        <v>1</v>
      </c>
      <c r="B5">
        <v>1.0328560927462169</v>
      </c>
      <c r="C5">
        <v>1.0328560927462169</v>
      </c>
      <c r="D5" t="s">
        <v>10</v>
      </c>
      <c r="E5" t="s">
        <v>10</v>
      </c>
    </row>
    <row r="6" spans="1:5" x14ac:dyDescent="0.3">
      <c r="A6">
        <v>1</v>
      </c>
      <c r="B6">
        <v>0.73667049539344276</v>
      </c>
      <c r="C6">
        <v>0.73667049539344276</v>
      </c>
      <c r="D6" t="s">
        <v>11</v>
      </c>
      <c r="E6" t="s">
        <v>11</v>
      </c>
    </row>
    <row r="7" spans="1:5" x14ac:dyDescent="0.3">
      <c r="A7">
        <v>2</v>
      </c>
      <c r="B7">
        <v>1.684190613110869</v>
      </c>
      <c r="C7">
        <v>0.84209530655543441</v>
      </c>
      <c r="D7" t="s">
        <v>12</v>
      </c>
      <c r="E7" t="s">
        <v>13</v>
      </c>
    </row>
    <row r="8" spans="1:5" x14ac:dyDescent="0.3">
      <c r="A8">
        <v>1</v>
      </c>
      <c r="B8">
        <v>0.54483617589772615</v>
      </c>
      <c r="C8">
        <v>0.54483617589772615</v>
      </c>
      <c r="D8" t="s">
        <v>14</v>
      </c>
      <c r="E8" t="s">
        <v>14</v>
      </c>
    </row>
    <row r="9" spans="1:5" x14ac:dyDescent="0.3">
      <c r="A9">
        <v>2</v>
      </c>
      <c r="B9">
        <v>1.262130964888271</v>
      </c>
      <c r="C9">
        <v>0.6310654824441353</v>
      </c>
      <c r="D9" t="s">
        <v>15</v>
      </c>
      <c r="E9" t="s">
        <v>16</v>
      </c>
    </row>
    <row r="10" spans="1:5" x14ac:dyDescent="0.3">
      <c r="A10">
        <v>1</v>
      </c>
      <c r="B10">
        <v>0.54622606893642867</v>
      </c>
      <c r="C10">
        <v>0.54622606893642867</v>
      </c>
      <c r="D10" t="s">
        <v>17</v>
      </c>
      <c r="E10" t="s">
        <v>17</v>
      </c>
    </row>
    <row r="11" spans="1:5" x14ac:dyDescent="0.3">
      <c r="A11">
        <v>7</v>
      </c>
      <c r="B11">
        <v>6.647382914587145</v>
      </c>
      <c r="C11">
        <v>0.94962613065530643</v>
      </c>
      <c r="D11" t="s">
        <v>18</v>
      </c>
      <c r="E11" t="s">
        <v>19</v>
      </c>
    </row>
    <row r="12" spans="1:5" x14ac:dyDescent="0.3">
      <c r="A12">
        <v>1</v>
      </c>
      <c r="B12">
        <v>0.73224059771906935</v>
      </c>
      <c r="C12">
        <v>0.73224059771906935</v>
      </c>
      <c r="D12" t="s">
        <v>20</v>
      </c>
      <c r="E12" t="s">
        <v>20</v>
      </c>
    </row>
    <row r="13" spans="1:5" x14ac:dyDescent="0.3">
      <c r="A13">
        <v>1</v>
      </c>
      <c r="B13">
        <v>0.7944586792120355</v>
      </c>
      <c r="C13">
        <v>0.7944586792120355</v>
      </c>
      <c r="D13" t="s">
        <v>21</v>
      </c>
      <c r="E13" t="s">
        <v>21</v>
      </c>
    </row>
    <row r="14" spans="1:5" x14ac:dyDescent="0.3">
      <c r="A14">
        <v>1</v>
      </c>
      <c r="B14">
        <v>1.05166389266495</v>
      </c>
      <c r="C14">
        <v>1.05166389266495</v>
      </c>
      <c r="D14" t="s">
        <v>22</v>
      </c>
      <c r="E14" t="s">
        <v>22</v>
      </c>
    </row>
    <row r="15" spans="1:5" x14ac:dyDescent="0.3">
      <c r="A15">
        <v>2</v>
      </c>
      <c r="B15">
        <v>1.3098966796110181</v>
      </c>
      <c r="C15">
        <v>0.65494833980550893</v>
      </c>
      <c r="D15" t="s">
        <v>23</v>
      </c>
      <c r="E15" t="s">
        <v>24</v>
      </c>
    </row>
    <row r="16" spans="1:5" x14ac:dyDescent="0.3">
      <c r="A16">
        <v>2</v>
      </c>
      <c r="B16">
        <v>1.584379874711688</v>
      </c>
      <c r="C16">
        <v>0.79218993735584387</v>
      </c>
      <c r="D16" t="s">
        <v>25</v>
      </c>
      <c r="E16" t="s">
        <v>26</v>
      </c>
    </row>
    <row r="17" spans="1:5" x14ac:dyDescent="0.3">
      <c r="A17">
        <v>1</v>
      </c>
      <c r="B17">
        <v>0.59048447054940234</v>
      </c>
      <c r="C17">
        <v>0.59048447054940234</v>
      </c>
      <c r="D17" t="s">
        <v>27</v>
      </c>
      <c r="E17" t="s">
        <v>27</v>
      </c>
    </row>
    <row r="18" spans="1:5" x14ac:dyDescent="0.3">
      <c r="A18">
        <v>2</v>
      </c>
      <c r="B18">
        <v>2.0261671250563982</v>
      </c>
      <c r="C18">
        <v>1.0130835625281991</v>
      </c>
      <c r="D18" t="s">
        <v>28</v>
      </c>
      <c r="E18" t="s">
        <v>29</v>
      </c>
    </row>
    <row r="19" spans="1:5" x14ac:dyDescent="0.3">
      <c r="A19">
        <v>1</v>
      </c>
      <c r="B19">
        <v>0.81568557781628293</v>
      </c>
      <c r="C19">
        <v>0.81568557781628293</v>
      </c>
      <c r="D19" t="s">
        <v>30</v>
      </c>
      <c r="E19" t="s">
        <v>30</v>
      </c>
    </row>
    <row r="20" spans="1:5" x14ac:dyDescent="0.3">
      <c r="A20">
        <v>7</v>
      </c>
      <c r="B20">
        <v>6.4224072776805237</v>
      </c>
      <c r="C20">
        <v>0.91748675395436052</v>
      </c>
      <c r="D20" t="s">
        <v>31</v>
      </c>
      <c r="E20" t="s">
        <v>32</v>
      </c>
    </row>
    <row r="21" spans="1:5" x14ac:dyDescent="0.3">
      <c r="A21">
        <v>2</v>
      </c>
      <c r="B21">
        <v>1.191078286298267</v>
      </c>
      <c r="C21">
        <v>0.59553914314913325</v>
      </c>
      <c r="D21" t="s">
        <v>33</v>
      </c>
      <c r="E21" t="s">
        <v>34</v>
      </c>
    </row>
    <row r="22" spans="1:5" x14ac:dyDescent="0.3">
      <c r="A22">
        <v>1</v>
      </c>
      <c r="B22">
        <v>0.86106663366066938</v>
      </c>
      <c r="C22">
        <v>0.86106663366066938</v>
      </c>
      <c r="D22" t="s">
        <v>35</v>
      </c>
      <c r="E22" t="s">
        <v>35</v>
      </c>
    </row>
    <row r="23" spans="1:5" x14ac:dyDescent="0.3">
      <c r="A23">
        <v>1</v>
      </c>
      <c r="B23">
        <v>0.62819754553866813</v>
      </c>
      <c r="C23">
        <v>0.62819754553866813</v>
      </c>
      <c r="D23" t="s">
        <v>36</v>
      </c>
      <c r="E23" t="s">
        <v>36</v>
      </c>
    </row>
    <row r="24" spans="1:5" x14ac:dyDescent="0.3">
      <c r="A24">
        <v>4</v>
      </c>
      <c r="B24">
        <v>3.9696382191158608</v>
      </c>
      <c r="C24">
        <v>0.99240955477896531</v>
      </c>
      <c r="D24" t="s">
        <v>37</v>
      </c>
      <c r="E24" t="s">
        <v>38</v>
      </c>
    </row>
    <row r="25" spans="1:5" x14ac:dyDescent="0.3">
      <c r="A25">
        <v>1</v>
      </c>
      <c r="B25">
        <v>0.72580835227635987</v>
      </c>
      <c r="C25">
        <v>0.72580835227635987</v>
      </c>
      <c r="D25" t="s">
        <v>39</v>
      </c>
      <c r="E25" t="s">
        <v>39</v>
      </c>
    </row>
    <row r="26" spans="1:5" x14ac:dyDescent="0.3">
      <c r="A26">
        <v>1</v>
      </c>
      <c r="B26">
        <v>0.62075149897007464</v>
      </c>
      <c r="C26">
        <v>0.62075149897007464</v>
      </c>
      <c r="D26" t="s">
        <v>40</v>
      </c>
      <c r="E26" t="s">
        <v>40</v>
      </c>
    </row>
    <row r="27" spans="1:5" x14ac:dyDescent="0.3">
      <c r="A27">
        <v>1</v>
      </c>
      <c r="B27">
        <v>0.63166566168142846</v>
      </c>
      <c r="C27">
        <v>0.63166566168142846</v>
      </c>
      <c r="D27" t="s">
        <v>41</v>
      </c>
      <c r="E27" t="s">
        <v>41</v>
      </c>
    </row>
    <row r="28" spans="1:5" x14ac:dyDescent="0.3">
      <c r="A28">
        <v>1</v>
      </c>
      <c r="B28">
        <v>0.60188114120573832</v>
      </c>
      <c r="C28">
        <v>0.60188114120573832</v>
      </c>
      <c r="D28" t="s">
        <v>42</v>
      </c>
      <c r="E28" t="s">
        <v>42</v>
      </c>
    </row>
    <row r="29" spans="1:5" x14ac:dyDescent="0.3">
      <c r="A29">
        <v>1</v>
      </c>
      <c r="B29">
        <v>1.066124358277482</v>
      </c>
      <c r="C29">
        <v>1.066124358277482</v>
      </c>
      <c r="D29" t="s">
        <v>43</v>
      </c>
      <c r="E29" t="s">
        <v>43</v>
      </c>
    </row>
    <row r="30" spans="1:5" x14ac:dyDescent="0.3">
      <c r="A30">
        <v>3</v>
      </c>
      <c r="B30">
        <v>3.6880804752688841</v>
      </c>
      <c r="C30">
        <v>1.229360158422961</v>
      </c>
      <c r="D30" t="s">
        <v>44</v>
      </c>
      <c r="E30" t="s">
        <v>45</v>
      </c>
    </row>
    <row r="31" spans="1:5" x14ac:dyDescent="0.3">
      <c r="A31">
        <v>1</v>
      </c>
      <c r="B31">
        <v>0.63170023626234295</v>
      </c>
      <c r="C31">
        <v>0.63170023626234295</v>
      </c>
      <c r="D31" t="s">
        <v>46</v>
      </c>
      <c r="E31" t="s">
        <v>46</v>
      </c>
    </row>
    <row r="32" spans="1:5" x14ac:dyDescent="0.3">
      <c r="A32">
        <v>1</v>
      </c>
      <c r="B32">
        <v>0.54341314725041734</v>
      </c>
      <c r="C32">
        <v>0.54341314725041734</v>
      </c>
      <c r="D32" t="s">
        <v>47</v>
      </c>
      <c r="E32" t="s">
        <v>47</v>
      </c>
    </row>
    <row r="33" spans="1:5" x14ac:dyDescent="0.3">
      <c r="A33">
        <v>3</v>
      </c>
      <c r="B33">
        <v>3.7312929525307501</v>
      </c>
      <c r="C33">
        <v>1.24376431751025</v>
      </c>
      <c r="D33" t="s">
        <v>48</v>
      </c>
      <c r="E33" t="s">
        <v>49</v>
      </c>
    </row>
    <row r="34" spans="1:5" x14ac:dyDescent="0.3">
      <c r="A34">
        <v>13</v>
      </c>
      <c r="B34">
        <v>15.327557276834179</v>
      </c>
      <c r="C34">
        <v>1.1790428674487829</v>
      </c>
      <c r="D34" t="s">
        <v>50</v>
      </c>
      <c r="E34" t="s">
        <v>51</v>
      </c>
    </row>
    <row r="35" spans="1:5" x14ac:dyDescent="0.3">
      <c r="A35">
        <v>2</v>
      </c>
      <c r="B35">
        <v>1.698138369486127</v>
      </c>
      <c r="C35">
        <v>0.8490691847430637</v>
      </c>
      <c r="D35" t="s">
        <v>52</v>
      </c>
      <c r="E35" t="s">
        <v>53</v>
      </c>
    </row>
    <row r="36" spans="1:5" x14ac:dyDescent="0.3">
      <c r="A36">
        <v>4</v>
      </c>
      <c r="B36">
        <v>3.0899549693146642</v>
      </c>
      <c r="C36">
        <v>0.77248874232866593</v>
      </c>
      <c r="D36" t="s">
        <v>54</v>
      </c>
      <c r="E36" t="s">
        <v>55</v>
      </c>
    </row>
    <row r="37" spans="1:5" x14ac:dyDescent="0.3">
      <c r="A37">
        <v>2</v>
      </c>
      <c r="B37">
        <v>1.556239856147398</v>
      </c>
      <c r="C37">
        <v>0.77811992807369912</v>
      </c>
      <c r="D37" t="s">
        <v>56</v>
      </c>
      <c r="E37" t="s">
        <v>57</v>
      </c>
    </row>
    <row r="38" spans="1:5" x14ac:dyDescent="0.3">
      <c r="A38">
        <v>1</v>
      </c>
      <c r="B38">
        <v>0.94792169492685785</v>
      </c>
      <c r="C38">
        <v>0.94792169492685785</v>
      </c>
      <c r="D38" t="s">
        <v>58</v>
      </c>
      <c r="E38" t="s">
        <v>58</v>
      </c>
    </row>
    <row r="39" spans="1:5" x14ac:dyDescent="0.3">
      <c r="A39">
        <v>1</v>
      </c>
      <c r="B39">
        <v>0.89115667025893708</v>
      </c>
      <c r="C39">
        <v>0.89115667025893708</v>
      </c>
      <c r="D39" t="s">
        <v>59</v>
      </c>
      <c r="E39" t="s">
        <v>59</v>
      </c>
    </row>
    <row r="40" spans="1:5" x14ac:dyDescent="0.3">
      <c r="A40">
        <v>1</v>
      </c>
      <c r="B40">
        <v>0.55594516030988472</v>
      </c>
      <c r="C40">
        <v>0.55594516030988472</v>
      </c>
      <c r="D40" t="s">
        <v>60</v>
      </c>
      <c r="E40" t="s">
        <v>60</v>
      </c>
    </row>
    <row r="41" spans="1:5" x14ac:dyDescent="0.3">
      <c r="A41">
        <v>2</v>
      </c>
      <c r="B41">
        <v>1.888766360869423</v>
      </c>
      <c r="C41">
        <v>0.94438318043471159</v>
      </c>
      <c r="D41" t="s">
        <v>61</v>
      </c>
      <c r="E41" t="s">
        <v>62</v>
      </c>
    </row>
    <row r="42" spans="1:5" x14ac:dyDescent="0.3">
      <c r="A42">
        <v>1</v>
      </c>
      <c r="B42">
        <v>0.79681636941856582</v>
      </c>
      <c r="C42">
        <v>0.79681636941856582</v>
      </c>
      <c r="D42" t="s">
        <v>63</v>
      </c>
      <c r="E42" t="s">
        <v>63</v>
      </c>
    </row>
    <row r="43" spans="1:5" x14ac:dyDescent="0.3">
      <c r="A43">
        <v>1</v>
      </c>
      <c r="B43">
        <v>0.73384200811548317</v>
      </c>
      <c r="C43">
        <v>0.73384200811548317</v>
      </c>
      <c r="D43" t="s">
        <v>64</v>
      </c>
      <c r="E43" t="s">
        <v>64</v>
      </c>
    </row>
    <row r="44" spans="1:5" x14ac:dyDescent="0.3">
      <c r="A44">
        <v>1</v>
      </c>
      <c r="B44">
        <v>0.5196166010928871</v>
      </c>
      <c r="C44">
        <v>0.5196166010928871</v>
      </c>
      <c r="D44" t="s">
        <v>65</v>
      </c>
      <c r="E44" t="s">
        <v>65</v>
      </c>
    </row>
    <row r="45" spans="1:5" x14ac:dyDescent="0.3">
      <c r="A45">
        <v>7</v>
      </c>
      <c r="B45">
        <v>6.260603596529827</v>
      </c>
      <c r="C45">
        <v>0.89437194236140383</v>
      </c>
      <c r="D45" t="s">
        <v>66</v>
      </c>
      <c r="E45" t="s">
        <v>67</v>
      </c>
    </row>
    <row r="46" spans="1:5" x14ac:dyDescent="0.3">
      <c r="A46">
        <v>2</v>
      </c>
      <c r="B46">
        <v>1.66730834516713</v>
      </c>
      <c r="C46">
        <v>0.83365417258356489</v>
      </c>
      <c r="D46" t="s">
        <v>68</v>
      </c>
      <c r="E46" t="s">
        <v>69</v>
      </c>
    </row>
    <row r="47" spans="1:5" x14ac:dyDescent="0.3">
      <c r="A47">
        <v>1</v>
      </c>
      <c r="B47">
        <v>1.28793948340085</v>
      </c>
      <c r="C47">
        <v>1.28793948340085</v>
      </c>
      <c r="D47" t="s">
        <v>70</v>
      </c>
      <c r="E47" t="s">
        <v>70</v>
      </c>
    </row>
    <row r="48" spans="1:5" x14ac:dyDescent="0.3">
      <c r="A48">
        <v>1</v>
      </c>
      <c r="B48">
        <v>1.0507357389674621</v>
      </c>
      <c r="C48">
        <v>1.0507357389674621</v>
      </c>
      <c r="D48" t="s">
        <v>71</v>
      </c>
      <c r="E48" t="s">
        <v>71</v>
      </c>
    </row>
    <row r="49" spans="1:5" x14ac:dyDescent="0.3">
      <c r="A49">
        <v>3</v>
      </c>
      <c r="B49">
        <v>3.1399643466718961</v>
      </c>
      <c r="C49">
        <v>1.0466547822239649</v>
      </c>
      <c r="D49" t="s">
        <v>72</v>
      </c>
      <c r="E49" t="s">
        <v>73</v>
      </c>
    </row>
    <row r="50" spans="1:5" x14ac:dyDescent="0.3">
      <c r="A50">
        <v>1</v>
      </c>
      <c r="B50">
        <v>1.1991115614147341</v>
      </c>
      <c r="C50">
        <v>1.1991115614147341</v>
      </c>
      <c r="D50" t="s">
        <v>74</v>
      </c>
      <c r="E50" t="s">
        <v>74</v>
      </c>
    </row>
    <row r="51" spans="1:5" x14ac:dyDescent="0.3">
      <c r="A51">
        <v>3</v>
      </c>
      <c r="B51">
        <v>3.454594908050943</v>
      </c>
      <c r="C51">
        <v>1.1515316360169809</v>
      </c>
      <c r="D51" t="s">
        <v>75</v>
      </c>
      <c r="E51" t="s">
        <v>76</v>
      </c>
    </row>
    <row r="52" spans="1:5" x14ac:dyDescent="0.3">
      <c r="A52">
        <v>2</v>
      </c>
      <c r="B52">
        <v>2.1729373065406361</v>
      </c>
      <c r="C52">
        <v>1.0864686532703181</v>
      </c>
      <c r="D52" t="s">
        <v>77</v>
      </c>
      <c r="E52" t="s">
        <v>78</v>
      </c>
    </row>
    <row r="53" spans="1:5" x14ac:dyDescent="0.3">
      <c r="A53">
        <v>2</v>
      </c>
      <c r="B53">
        <v>1.443339904073986</v>
      </c>
      <c r="C53">
        <v>0.72166995203699302</v>
      </c>
      <c r="D53" t="s">
        <v>79</v>
      </c>
      <c r="E53" t="s">
        <v>80</v>
      </c>
    </row>
    <row r="54" spans="1:5" x14ac:dyDescent="0.3">
      <c r="A54">
        <v>1</v>
      </c>
      <c r="B54">
        <v>0.54334690779955752</v>
      </c>
      <c r="C54">
        <v>0.54334690779955752</v>
      </c>
      <c r="D54" t="s">
        <v>81</v>
      </c>
      <c r="E54" t="s">
        <v>81</v>
      </c>
    </row>
    <row r="55" spans="1:5" x14ac:dyDescent="0.3">
      <c r="A55">
        <v>1</v>
      </c>
      <c r="B55">
        <v>0.6439568955295677</v>
      </c>
      <c r="C55">
        <v>0.6439568955295677</v>
      </c>
      <c r="D55" t="s">
        <v>82</v>
      </c>
      <c r="E55" t="s">
        <v>82</v>
      </c>
    </row>
    <row r="56" spans="1:5" x14ac:dyDescent="0.3">
      <c r="A56">
        <v>1</v>
      </c>
      <c r="B56">
        <v>0.97394705714653995</v>
      </c>
      <c r="C56">
        <v>0.97394705714653995</v>
      </c>
      <c r="D56" t="s">
        <v>83</v>
      </c>
      <c r="E56" t="s">
        <v>83</v>
      </c>
    </row>
    <row r="57" spans="1:5" x14ac:dyDescent="0.3">
      <c r="A57">
        <v>2</v>
      </c>
      <c r="B57">
        <v>1.764210390232976</v>
      </c>
      <c r="C57">
        <v>0.88210519511648811</v>
      </c>
      <c r="D57" t="s">
        <v>84</v>
      </c>
      <c r="E57" t="s">
        <v>85</v>
      </c>
    </row>
    <row r="58" spans="1:5" x14ac:dyDescent="0.3">
      <c r="A58">
        <v>4</v>
      </c>
      <c r="B58">
        <v>3.6158253398737119</v>
      </c>
      <c r="C58">
        <v>0.90395633496842809</v>
      </c>
      <c r="D58" t="s">
        <v>86</v>
      </c>
      <c r="E58" t="s">
        <v>87</v>
      </c>
    </row>
    <row r="59" spans="1:5" x14ac:dyDescent="0.3">
      <c r="A59">
        <v>2</v>
      </c>
      <c r="B59">
        <v>1.9863446731486549</v>
      </c>
      <c r="C59">
        <v>0.99317233657432746</v>
      </c>
      <c r="D59" t="s">
        <v>88</v>
      </c>
      <c r="E59" t="s">
        <v>89</v>
      </c>
    </row>
    <row r="60" spans="1:5" x14ac:dyDescent="0.3">
      <c r="A60">
        <v>4</v>
      </c>
      <c r="B60">
        <v>3.1362677856202401</v>
      </c>
      <c r="C60">
        <v>0.78406694640506003</v>
      </c>
      <c r="D60" t="s">
        <v>90</v>
      </c>
      <c r="E60" t="s">
        <v>91</v>
      </c>
    </row>
    <row r="61" spans="1:5" x14ac:dyDescent="0.3">
      <c r="A61">
        <v>5</v>
      </c>
      <c r="B61">
        <v>6.309625106539591</v>
      </c>
      <c r="C61">
        <v>1.2619250213079181</v>
      </c>
      <c r="D61" t="s">
        <v>92</v>
      </c>
      <c r="E61" t="s">
        <v>93</v>
      </c>
    </row>
    <row r="62" spans="1:5" x14ac:dyDescent="0.3">
      <c r="A62">
        <v>9</v>
      </c>
      <c r="B62">
        <v>9.4647796920852709</v>
      </c>
      <c r="C62">
        <v>1.0516421880094751</v>
      </c>
      <c r="D62" t="s">
        <v>94</v>
      </c>
      <c r="E62" t="s">
        <v>95</v>
      </c>
    </row>
    <row r="63" spans="1:5" x14ac:dyDescent="0.3">
      <c r="A63">
        <v>2</v>
      </c>
      <c r="B63">
        <v>1.468595309592903</v>
      </c>
      <c r="C63">
        <v>0.7342976547964517</v>
      </c>
      <c r="D63" t="s">
        <v>96</v>
      </c>
      <c r="E63" t="s">
        <v>97</v>
      </c>
    </row>
    <row r="64" spans="1:5" x14ac:dyDescent="0.3">
      <c r="A64">
        <v>1</v>
      </c>
      <c r="B64">
        <v>0.57598972771060686</v>
      </c>
      <c r="C64">
        <v>0.57598972771060686</v>
      </c>
      <c r="D64" t="s">
        <v>98</v>
      </c>
      <c r="E64" t="s">
        <v>98</v>
      </c>
    </row>
    <row r="65" spans="1:5" x14ac:dyDescent="0.3">
      <c r="A65">
        <v>2</v>
      </c>
      <c r="B65">
        <v>1.7975780863024731</v>
      </c>
      <c r="C65">
        <v>0.89878904315123664</v>
      </c>
      <c r="D65" t="s">
        <v>99</v>
      </c>
      <c r="E65" t="s">
        <v>100</v>
      </c>
    </row>
    <row r="66" spans="1:5" x14ac:dyDescent="0.3">
      <c r="A66">
        <v>3</v>
      </c>
      <c r="B66">
        <v>3.3664154623515299</v>
      </c>
      <c r="C66">
        <v>1.12213848745051</v>
      </c>
      <c r="D66" t="s">
        <v>101</v>
      </c>
      <c r="E66" t="s">
        <v>102</v>
      </c>
    </row>
    <row r="69" spans="1:5" x14ac:dyDescent="0.3">
      <c r="A69">
        <f>SUM(A2:A66)</f>
        <v>151</v>
      </c>
      <c r="B69">
        <v>16</v>
      </c>
      <c r="C69">
        <f>SUM(A66,A60:A62,A58,A51,A49,A45,A36,A33:A34,A30,A24,A20,A4,A11)/16</f>
        <v>5.3125</v>
      </c>
      <c r="D69">
        <f>SUM(B66,B62,B61,B60,B58,B51,B49,B45,B36,B34,B33,B30,B24,B20,B11,B4)/B69</f>
        <v>5.5689503418132693</v>
      </c>
      <c r="E69">
        <f>SUM(C66,C62,C61,C60,C58,C51,C49,C45,C36,C34,C33,C30,C24,C20,C11,C4)/16</f>
        <v>1.046683440927245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2024-04-18T11:11:41Z</dcterms:created>
  <dcterms:modified xsi:type="dcterms:W3CDTF">2024-04-18T12:44:04Z</dcterms:modified>
</cp:coreProperties>
</file>