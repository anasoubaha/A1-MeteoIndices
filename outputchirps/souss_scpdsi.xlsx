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4715160E-9EB5-46CC-BE3E-5C49FBF37ECF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E26" i="1"/>
  <c r="D26" i="1"/>
  <c r="B26" i="1"/>
  <c r="A26" i="1"/>
</calcChain>
</file>

<file path=xl/sharedStrings.xml><?xml version="1.0" encoding="utf-8"?>
<sst xmlns="http://schemas.openxmlformats.org/spreadsheetml/2006/main" count="49" uniqueCount="44">
  <si>
    <t>Duration</t>
  </si>
  <si>
    <t>Severity</t>
  </si>
  <si>
    <t>Intensity</t>
  </si>
  <si>
    <t>Date_Ini_Ev</t>
  </si>
  <si>
    <t>Date_Fin_Ev</t>
  </si>
  <si>
    <t>1983-03-01</t>
  </si>
  <si>
    <t>1983-06-01</t>
  </si>
  <si>
    <t>1983-10-01</t>
  </si>
  <si>
    <t>1984-10-01</t>
  </si>
  <si>
    <t>1986-12-01</t>
  </si>
  <si>
    <t>1987-09-01</t>
  </si>
  <si>
    <t>1992-03-01</t>
  </si>
  <si>
    <t>1992-05-01</t>
  </si>
  <si>
    <t>1992-07-01</t>
  </si>
  <si>
    <t>1992-10-01</t>
  </si>
  <si>
    <t>1993-09-01</t>
  </si>
  <si>
    <t>1994-05-01</t>
  </si>
  <si>
    <t>1994-06-01</t>
  </si>
  <si>
    <t>1994-11-01</t>
  </si>
  <si>
    <t>1995-08-01</t>
  </si>
  <si>
    <t>1995-10-01</t>
  </si>
  <si>
    <t>1998-11-01</t>
  </si>
  <si>
    <t>1998-12-01</t>
  </si>
  <si>
    <t>2000-02-01</t>
  </si>
  <si>
    <t>2001-11-01</t>
  </si>
  <si>
    <t>2002-01-01</t>
  </si>
  <si>
    <t>2002-02-01</t>
  </si>
  <si>
    <t>2007-03-01</t>
  </si>
  <si>
    <t>2008-10-01</t>
  </si>
  <si>
    <t>2009-11-01</t>
  </si>
  <si>
    <t>2012-01-01</t>
  </si>
  <si>
    <t>2012-08-01</t>
  </si>
  <si>
    <t>2013-01-01</t>
  </si>
  <si>
    <t>2013-02-01</t>
  </si>
  <si>
    <t>2013-12-01</t>
  </si>
  <si>
    <t>2014-03-01</t>
  </si>
  <si>
    <t>2016-01-01</t>
  </si>
  <si>
    <t>2016-09-01</t>
  </si>
  <si>
    <t>2017-10-01</t>
  </si>
  <si>
    <t>2018-01-01</t>
  </si>
  <si>
    <t>2019-02-01</t>
  </si>
  <si>
    <t>2021-01-01</t>
  </si>
  <si>
    <t>2021-03-01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</si>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</sst>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C27" sqref="C27"/>
    </sheetView>
  </sheetViews>
  <sheetFormatPr defaultRowHeight="14.4" x14ac:dyDescent="0.3"/>
  <cols>
    <col min="3" max="4" width="12" bestFit="1" customWidth="1"/>
    <col min="5" max="5" width="11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4</v>
      </c>
      <c r="B2">
        <v>7.8692697378121466</v>
      </c>
      <c r="C2">
        <v>1.9673174344530371</v>
      </c>
      <c r="D2" t="s">
        <v>5</v>
      </c>
      <c r="E2" t="s">
        <v>6</v>
      </c>
    </row>
    <row r="3" spans="1:5" x14ac:dyDescent="0.3">
      <c r="A3">
        <v>13</v>
      </c>
      <c r="B3">
        <v>39.228580428929341</v>
      </c>
      <c r="C3">
        <v>3.0175831099176418</v>
      </c>
      <c r="D3" t="s">
        <v>7</v>
      </c>
      <c r="E3" t="s">
        <v>8</v>
      </c>
    </row>
    <row r="4" spans="1:5" x14ac:dyDescent="0.3">
      <c r="A4">
        <v>10</v>
      </c>
      <c r="B4">
        <v>26.39689032196581</v>
      </c>
      <c r="C4">
        <v>2.6396890321965811</v>
      </c>
      <c r="D4" t="s">
        <v>9</v>
      </c>
      <c r="E4" t="s">
        <v>10</v>
      </c>
    </row>
    <row r="5" spans="1:5" x14ac:dyDescent="0.3">
      <c r="A5">
        <v>1</v>
      </c>
      <c r="B5">
        <v>1.534009885521757</v>
      </c>
      <c r="C5">
        <v>1.534009885521757</v>
      </c>
      <c r="D5" t="s">
        <v>11</v>
      </c>
      <c r="E5" t="s">
        <v>11</v>
      </c>
    </row>
    <row r="6" spans="1:5" x14ac:dyDescent="0.3">
      <c r="A6">
        <v>3</v>
      </c>
      <c r="B6">
        <v>5.1036941510306679</v>
      </c>
      <c r="C6">
        <v>1.7012313836768891</v>
      </c>
      <c r="D6" t="s">
        <v>12</v>
      </c>
      <c r="E6" t="s">
        <v>13</v>
      </c>
    </row>
    <row r="7" spans="1:5" x14ac:dyDescent="0.3">
      <c r="A7">
        <v>12</v>
      </c>
      <c r="B7">
        <v>28.636477988567961</v>
      </c>
      <c r="C7">
        <v>2.386373165713997</v>
      </c>
      <c r="D7" t="s">
        <v>14</v>
      </c>
      <c r="E7" t="s">
        <v>15</v>
      </c>
    </row>
    <row r="8" spans="1:5" x14ac:dyDescent="0.3">
      <c r="A8">
        <v>2</v>
      </c>
      <c r="B8">
        <v>3.1584143203415702</v>
      </c>
      <c r="C8">
        <v>1.5792071601707851</v>
      </c>
      <c r="D8" t="s">
        <v>16</v>
      </c>
      <c r="E8" t="s">
        <v>17</v>
      </c>
    </row>
    <row r="9" spans="1:5" x14ac:dyDescent="0.3">
      <c r="A9">
        <v>10</v>
      </c>
      <c r="B9">
        <v>23.214072073521269</v>
      </c>
      <c r="C9">
        <v>2.3214072073521259</v>
      </c>
      <c r="D9" t="s">
        <v>18</v>
      </c>
      <c r="E9" t="s">
        <v>19</v>
      </c>
    </row>
    <row r="10" spans="1:5" x14ac:dyDescent="0.3">
      <c r="A10">
        <v>1</v>
      </c>
      <c r="B10">
        <v>1.5483965743192281</v>
      </c>
      <c r="C10">
        <v>1.5483965743192281</v>
      </c>
      <c r="D10" t="s">
        <v>20</v>
      </c>
      <c r="E10" t="s">
        <v>20</v>
      </c>
    </row>
    <row r="11" spans="1:5" x14ac:dyDescent="0.3">
      <c r="A11">
        <v>2</v>
      </c>
      <c r="B11">
        <v>4.3651861877474376</v>
      </c>
      <c r="C11">
        <v>2.1825930938737188</v>
      </c>
      <c r="D11" t="s">
        <v>21</v>
      </c>
      <c r="E11" t="s">
        <v>22</v>
      </c>
    </row>
    <row r="12" spans="1:5" x14ac:dyDescent="0.3">
      <c r="A12">
        <v>22</v>
      </c>
      <c r="B12">
        <v>72.84322549099376</v>
      </c>
      <c r="C12">
        <v>3.3110557041360802</v>
      </c>
      <c r="D12" t="s">
        <v>23</v>
      </c>
      <c r="E12" t="s">
        <v>24</v>
      </c>
    </row>
    <row r="13" spans="1:5" x14ac:dyDescent="0.3">
      <c r="A13">
        <v>2</v>
      </c>
      <c r="B13">
        <v>6.182661120045573</v>
      </c>
      <c r="C13">
        <v>3.0913305600227861</v>
      </c>
      <c r="D13" t="s">
        <v>25</v>
      </c>
      <c r="E13" t="s">
        <v>26</v>
      </c>
    </row>
    <row r="14" spans="1:5" x14ac:dyDescent="0.3">
      <c r="A14">
        <v>20</v>
      </c>
      <c r="B14">
        <v>52.257832035102808</v>
      </c>
      <c r="C14">
        <v>2.6128916017551398</v>
      </c>
      <c r="D14" t="s">
        <v>27</v>
      </c>
      <c r="E14" t="s">
        <v>28</v>
      </c>
    </row>
    <row r="15" spans="1:5" x14ac:dyDescent="0.3">
      <c r="A15">
        <v>1</v>
      </c>
      <c r="B15">
        <v>2.042897848422832</v>
      </c>
      <c r="C15">
        <v>2.042897848422832</v>
      </c>
      <c r="D15" t="s">
        <v>29</v>
      </c>
      <c r="E15" t="s">
        <v>29</v>
      </c>
    </row>
    <row r="16" spans="1:5" x14ac:dyDescent="0.3">
      <c r="A16">
        <v>8</v>
      </c>
      <c r="B16">
        <v>17.395625993352049</v>
      </c>
      <c r="C16">
        <v>2.1744532491690061</v>
      </c>
      <c r="D16" t="s">
        <v>30</v>
      </c>
      <c r="E16" t="s">
        <v>31</v>
      </c>
    </row>
    <row r="17" spans="1:5" x14ac:dyDescent="0.3">
      <c r="A17">
        <v>2</v>
      </c>
      <c r="B17">
        <v>3.9589713785468041</v>
      </c>
      <c r="C17">
        <v>1.9794856892734021</v>
      </c>
      <c r="D17" t="s">
        <v>32</v>
      </c>
      <c r="E17" t="s">
        <v>33</v>
      </c>
    </row>
    <row r="18" spans="1:5" x14ac:dyDescent="0.3">
      <c r="A18">
        <v>1</v>
      </c>
      <c r="B18">
        <v>1.6076602680184291</v>
      </c>
      <c r="C18">
        <v>1.6076602680184291</v>
      </c>
      <c r="D18" t="s">
        <v>34</v>
      </c>
      <c r="E18" t="s">
        <v>34</v>
      </c>
    </row>
    <row r="19" spans="1:5" x14ac:dyDescent="0.3">
      <c r="A19">
        <v>1</v>
      </c>
      <c r="B19">
        <v>1.8453166037866959</v>
      </c>
      <c r="C19">
        <v>1.8453166037866959</v>
      </c>
      <c r="D19" t="s">
        <v>35</v>
      </c>
      <c r="E19" t="s">
        <v>35</v>
      </c>
    </row>
    <row r="20" spans="1:5" x14ac:dyDescent="0.3">
      <c r="A20">
        <v>9</v>
      </c>
      <c r="B20">
        <v>24.252227173575061</v>
      </c>
      <c r="C20">
        <v>2.6946919081750069</v>
      </c>
      <c r="D20" t="s">
        <v>36</v>
      </c>
      <c r="E20" t="s">
        <v>37</v>
      </c>
    </row>
    <row r="21" spans="1:5" x14ac:dyDescent="0.3">
      <c r="A21">
        <v>4</v>
      </c>
      <c r="B21">
        <v>9.0043484893893169</v>
      </c>
      <c r="C21">
        <v>2.2510871223473292</v>
      </c>
      <c r="D21" t="s">
        <v>38</v>
      </c>
      <c r="E21" t="s">
        <v>39</v>
      </c>
    </row>
    <row r="22" spans="1:5" x14ac:dyDescent="0.3">
      <c r="A22">
        <v>24</v>
      </c>
      <c r="B22">
        <v>89.077039419707603</v>
      </c>
      <c r="C22">
        <v>3.711543309154484</v>
      </c>
      <c r="D22" t="s">
        <v>40</v>
      </c>
      <c r="E22" t="s">
        <v>41</v>
      </c>
    </row>
    <row r="23" spans="1:5" x14ac:dyDescent="0.3">
      <c r="A23">
        <v>10</v>
      </c>
      <c r="B23">
        <v>27.414011812773651</v>
      </c>
      <c r="C23">
        <v>2.7414011812773649</v>
      </c>
      <c r="D23" t="s">
        <v>42</v>
      </c>
      <c r="E23" t="s">
        <v>43</v>
      </c>
    </row>
    <row r="26" spans="1:5" x14ac:dyDescent="0.3">
      <c r="A26">
        <f>SUM(A2:A23)</f>
        <v>162</v>
      </c>
      <c r="B26">
        <f>COUNT(A20:A23,A16,A14,A12,A9,A7,A6,A2:A4)</f>
        <v>13</v>
      </c>
      <c r="C26">
        <f>SUM(A20:A23,A16,A14,A12,A9,A6:A7,A2:A4)/13</f>
        <v>11.461538461538462</v>
      </c>
      <c r="D26">
        <f>SUM(B2:B4,B6:B7,B9,B12,B14,B16,B20:B23)/13</f>
        <v>32.51486885513242</v>
      </c>
      <c r="E26">
        <f>SUM(C20:C23,C16,C14,C12,C9,C6:C7,C2:C4)/13</f>
        <v>2.5792865699480525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2024-04-18T11:12:55Z</dcterms:created>
  <dcterms:modified xsi:type="dcterms:W3CDTF">2024-04-18T12:41:45Z</dcterms:modified>
</cp:coreProperties>
</file>